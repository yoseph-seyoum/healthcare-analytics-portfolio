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7"/>
  <workbookPr hidePivotFieldList="1" defaultThemeVersion="166925"/>
  <xr:revisionPtr revIDLastSave="0" documentId="8_{D9B9A228-CBF8-4193-9C3A-23C3F5369417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pivotCaches>
    <pivotCache cacheId="6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<sst xmlns="http://schemas.openxmlformats.org/spreadsheetml/2006/main" count="28" uniqueCount="18">
  <si>
    <t>Week_Start</t>
  </si>
  <si>
    <t>Department</t>
  </si>
  <si>
    <t>Encounters</t>
  </si>
  <si>
    <t>Paid_hours</t>
  </si>
  <si>
    <t>Labor_Cost</t>
  </si>
  <si>
    <t>Hours_Per_Encounter</t>
  </si>
  <si>
    <t>Cost_per_Encounter</t>
  </si>
  <si>
    <t>ER</t>
  </si>
  <si>
    <t>ICU</t>
  </si>
  <si>
    <t xml:space="preserve">IMAGING </t>
  </si>
  <si>
    <t>Average of Hours_Per_Encounter</t>
  </si>
  <si>
    <t>Average of Cost_per_Encounter</t>
  </si>
  <si>
    <t>Grand Total</t>
  </si>
  <si>
    <t>SUMMARY</t>
  </si>
  <si>
    <t>ICU has the highest labor intensity across both hours and cost per encounter</t>
  </si>
  <si>
    <t>ER demonstrates the lowest cost and time per encounter, indicating higher througput efficiency</t>
  </si>
  <si>
    <t xml:space="preserve">Differences likely reflect variation in patient acuity and care complexity </t>
  </si>
  <si>
    <t xml:space="preserve">Further analysis should evaluate staffing models and workflow optimization opportunities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</si>
</sst>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4" fontId="0" fillId="0" borderId="0" xfId="0" applyNumberFormat="1"/>
    <xf numFmtId="2" fontId="0" fillId="0" borderId="0" xfId="0" applyNumberFormat="1"/>
    <xf numFmtId="0" fontId="0" fillId="0" borderId="0" xfId="0" pivotButton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[healthcare_labor_effieciency_analysis.xlsx]Sheet2!PivotTable1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Efficiency by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</c:f>
              <c:strCache>
                <c:ptCount val="1"/>
                <c:pt idx="0">
                  <c:v>Average of Hours_Per_Encounter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Sheet2!$A$3:$A$6</c:f>
              <c:strCache>
                <c:ptCount val="3"/>
                <c:pt idx="0">
                  <c:v>ER</c:v>
                </c:pt>
                <c:pt idx="1">
                  <c:v>ICU</c:v>
                </c:pt>
                <c:pt idx="2">
                  <c:v>IMAGING </c:v>
                </c:pt>
              </c:strCache>
            </c:strRef>
          </c:cat>
          <c:val>
            <c:numRef>
              <c:f>Sheet2!$B$3:$B$6</c:f>
              <c:numCache>
                <c:formatCode>0.00</c:formatCode>
                <c:ptCount val="3"/>
                <c:pt idx="0">
                  <c:v>10.37683615819209</c:v>
                </c:pt>
                <c:pt idx="1">
                  <c:v>26.781914893617017</c:v>
                </c:pt>
                <c:pt idx="2">
                  <c:v>13.283714157706093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E-4816-A7C0-B8033A9D532B}"/>
            </c:ext>
          </c:extLst>
        </c:ser>
        <c:ser>
          <c:idx val="1"/>
          <c:order val="1"/>
          <c:tx>
            <c:strRef>
              <c:f>Sheet2!$C$2</c:f>
              <c:strCache>
                <c:ptCount val="1"/>
                <c:pt idx="0">
                  <c:v>Average of Cost_per_Encounter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Sheet2!$A$3:$A$6</c:f>
              <c:strCache>
                <c:ptCount val="3"/>
                <c:pt idx="0">
                  <c:v>ER</c:v>
                </c:pt>
                <c:pt idx="1">
                  <c:v>ICU</c:v>
                </c:pt>
                <c:pt idx="2">
                  <c:v>IMAGING </c:v>
                </c:pt>
              </c:strCache>
            </c:strRef>
          </c:cat>
          <c:val>
            <c:numRef>
              <c:f>Sheet2!$C$3:$C$6</c:f>
              <c:numCache>
                <c:formatCode>_("$"* #,##0.00_);_("$"* \(#,##0.00\);_("$"* "-"??_);_(@_)</c:formatCode>
                <c:ptCount val="3"/>
                <c:pt idx="0">
                  <c:v>821.01129943502826</c:v>
                </c:pt>
                <c:pt idx="1">
                  <c:v>1164.14499605989</c:v>
                </c:pt>
                <c:pt idx="2">
                  <c:v>516.31944444444446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DE-4816-A7C0-B8033A9D5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3848327"/>
        <c:axId val="2033850375"/>
      </c:barChart>
      <c:catAx>
        <c:axId val="2033848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50375"/>
        <c:crosses val="autoZero"/>
        <c:auto val="1"/>
        <c:lblAlgn val="ctr"/>
        <c:lblOffset val="100"/>
        <c:noMultiLvlLbl val="0"/>
      </c:catAx>
      <c:valAx>
        <c:axId val="2033850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848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0</xdr:row>
      <xdr:rowOff>161925</xdr:rowOff>
    </xdr:from>
    <xdr:to>
      <xdr:col>11</xdr:col>
      <xdr:colOff>247650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0292B6-A296-2061-5B75-5DE2D96D5C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735802662035" createdVersion="8" refreshedVersion="8" minRefreshableVersion="3" recordCount="9" xr:uid="{2E7DB0F3-855B-4CF3-9269-2CA4791C12DA}">
  <cacheSource type="worksheet">
    <worksheetSource ref="A1:G10" sheet="Sheet1"/>
  </cacheSource>
  <cacheFields count="7">
    <cacheField name="Week_Start" numFmtId="14">
      <sharedItems containsSemiMixedTypes="0" containsNonDate="0" containsDate="1" containsString="0" minDate="2024-01-01T00:00:00" maxDate="2024-01-16T00:00:00"/>
    </cacheField>
    <cacheField name="Department" numFmtId="0">
      <sharedItems count="3">
        <s v="ER"/>
        <s v="ICU"/>
        <s v="IMAGING "/>
      </sharedItems>
    </cacheField>
    <cacheField name="Encounters" numFmtId="0">
      <sharedItems containsSemiMixedTypes="0" containsString="0" containsNumber="1" containsInteger="1" minValue="450" maxValue="1250"/>
    </cacheField>
    <cacheField name="Paid_hours" numFmtId="44">
      <sharedItems containsSemiMixedTypes="0" containsString="0" containsNumber="1" containsInteger="1" minValue="1800" maxValue="18500"/>
    </cacheField>
    <cacheField name="Labor_Cost" numFmtId="44">
      <sharedItems containsSemiMixedTypes="0" containsString="0" containsNumber="1" containsInteger="1" minValue="310000" maxValue="1020000"/>
    </cacheField>
    <cacheField name="Hours_Per_Encounter" numFmtId="2">
      <sharedItems containsSemiMixedTypes="0" containsString="0" containsNumber="1" minValue="1.5" maxValue="27.083333333333332"/>
    </cacheField>
    <cacheField name="Cost_per_Encounter" numFmtId="44">
      <sharedItems containsSemiMixedTypes="0" containsString="0" containsNumber="1" minValue="500" maxValue="1170.212765957446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d v="2024-01-01T00:00:00"/>
    <x v="0"/>
    <n v="1200"/>
    <n v="1800"/>
    <n v="990000"/>
    <n v="1.5"/>
    <n v="825"/>
  </r>
  <r>
    <d v="2024-01-01T00:00:00"/>
    <x v="1"/>
    <n v="450"/>
    <n v="12000"/>
    <n v="520000"/>
    <n v="26.666666666666668"/>
    <n v="1155.5555555555557"/>
  </r>
  <r>
    <d v="2024-01-01T00:00:00"/>
    <x v="2"/>
    <n v="620"/>
    <n v="8000"/>
    <n v="310000"/>
    <n v="12.903225806451612"/>
    <n v="500"/>
  </r>
  <r>
    <d v="2024-01-08T00:00:00"/>
    <x v="0"/>
    <n v="1180"/>
    <n v="17500"/>
    <n v="970000"/>
    <n v="14.830508474576272"/>
    <n v="822.03389830508479"/>
  </r>
  <r>
    <d v="2024-01-08T00:00:00"/>
    <x v="1"/>
    <n v="470"/>
    <n v="12500"/>
    <n v="550000"/>
    <n v="26.595744680851062"/>
    <n v="1170.2127659574469"/>
  </r>
  <r>
    <d v="2024-01-08T00:00:00"/>
    <x v="2"/>
    <n v="600"/>
    <n v="8200"/>
    <n v="320000"/>
    <n v="13.666666666666666"/>
    <n v="533.33333333333337"/>
  </r>
  <r>
    <d v="2024-01-15T00:00:00"/>
    <x v="0"/>
    <n v="1250"/>
    <n v="18500"/>
    <n v="1020000"/>
    <n v="14.8"/>
    <n v="816"/>
  </r>
  <r>
    <d v="2024-01-15T00:00:00"/>
    <x v="1"/>
    <n v="480"/>
    <n v="13000"/>
    <n v="560000"/>
    <n v="27.083333333333332"/>
    <n v="1166.6666666666667"/>
  </r>
  <r>
    <d v="2024-01-15T00:00:00"/>
    <x v="2"/>
    <n v="640"/>
    <n v="8500"/>
    <n v="330000"/>
    <n v="13.28125"/>
    <n v="515.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B7EBF3-B0FE-4C52-90DF-4058D8CEFF1F}" name="PivotTable1" cacheId="6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C6" firstHeaderRow="0" firstDataRow="1" firstDataCol="1"/>
  <pivotFields count="7"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44" outline="0" showAll="0"/>
    <pivotField compact="0" numFmtId="44" outline="0" showAll="0"/>
    <pivotField dataField="1" compact="0" numFmtId="2" outline="0" showAll="0"/>
    <pivotField dataField="1" compact="0" numFmtId="44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Hours_Per_Encounter" fld="5" subtotal="average" baseField="0" baseItem="0" numFmtId="2"/>
    <dataField name="Average of Cost_per_Encounter" fld="6" subtotal="average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pane ySplit="1" topLeftCell="A2" activePane="bottomLeft" state="frozen"/>
      <selection pane="bottomLeft" activeCell="B3" sqref="A1:G10"/>
    </sheetView>
  </sheetViews>
  <sheetFormatPr defaultRowHeight="15"/>
  <cols>
    <col min="1" max="1" width="11.42578125" style="1" bestFit="1" customWidth="1"/>
    <col min="2" max="2" width="11.7109375" bestFit="1" customWidth="1"/>
    <col min="3" max="3" width="11" bestFit="1" customWidth="1"/>
    <col min="4" max="4" width="11.85546875" style="2" bestFit="1" customWidth="1"/>
    <col min="5" max="5" width="14.7109375" style="2" bestFit="1" customWidth="1"/>
    <col min="6" max="6" width="20.7109375" bestFit="1" customWidth="1"/>
    <col min="7" max="7" width="19.28515625" bestFit="1" customWidth="1"/>
  </cols>
  <sheetData>
    <row r="1" spans="1:7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>
      <c r="A2" s="1">
        <v>45292</v>
      </c>
      <c r="B2" t="s">
        <v>7</v>
      </c>
      <c r="C2">
        <v>1200</v>
      </c>
      <c r="D2" s="2">
        <v>1800</v>
      </c>
      <c r="E2" s="2">
        <v>990000</v>
      </c>
      <c r="F2" s="3">
        <f>D2/C2</f>
        <v>1.5</v>
      </c>
      <c r="G2" s="2">
        <f>E2/C2</f>
        <v>825</v>
      </c>
    </row>
    <row r="3" spans="1:7">
      <c r="A3" s="1">
        <v>45292</v>
      </c>
      <c r="B3" t="s">
        <v>8</v>
      </c>
      <c r="C3">
        <v>450</v>
      </c>
      <c r="D3" s="2">
        <v>12000</v>
      </c>
      <c r="E3" s="2">
        <v>520000</v>
      </c>
      <c r="F3" s="3">
        <f t="shared" ref="F3:F10" si="0">D3/C3</f>
        <v>26.666666666666668</v>
      </c>
      <c r="G3" s="2">
        <f t="shared" ref="G3:G10" si="1">E3/C3</f>
        <v>1155.5555555555557</v>
      </c>
    </row>
    <row r="4" spans="1:7">
      <c r="A4" s="1">
        <v>45292</v>
      </c>
      <c r="B4" t="s">
        <v>9</v>
      </c>
      <c r="C4">
        <v>620</v>
      </c>
      <c r="D4" s="2">
        <v>8000</v>
      </c>
      <c r="E4" s="2">
        <v>310000</v>
      </c>
      <c r="F4" s="3">
        <f t="shared" si="0"/>
        <v>12.903225806451612</v>
      </c>
      <c r="G4" s="2">
        <f t="shared" si="1"/>
        <v>500</v>
      </c>
    </row>
    <row r="5" spans="1:7">
      <c r="A5" s="1">
        <v>45299</v>
      </c>
      <c r="B5" t="s">
        <v>7</v>
      </c>
      <c r="C5">
        <v>1180</v>
      </c>
      <c r="D5" s="2">
        <v>17500</v>
      </c>
      <c r="E5" s="2">
        <v>970000</v>
      </c>
      <c r="F5" s="3">
        <f t="shared" si="0"/>
        <v>14.830508474576272</v>
      </c>
      <c r="G5" s="2">
        <f t="shared" si="1"/>
        <v>822.03389830508479</v>
      </c>
    </row>
    <row r="6" spans="1:7">
      <c r="A6" s="1">
        <v>45299</v>
      </c>
      <c r="B6" t="s">
        <v>8</v>
      </c>
      <c r="C6">
        <v>470</v>
      </c>
      <c r="D6" s="2">
        <v>12500</v>
      </c>
      <c r="E6" s="2">
        <v>550000</v>
      </c>
      <c r="F6" s="3">
        <f t="shared" si="0"/>
        <v>26.595744680851062</v>
      </c>
      <c r="G6" s="2">
        <f t="shared" si="1"/>
        <v>1170.2127659574469</v>
      </c>
    </row>
    <row r="7" spans="1:7">
      <c r="A7" s="1">
        <v>45299</v>
      </c>
      <c r="B7" t="s">
        <v>9</v>
      </c>
      <c r="C7">
        <v>600</v>
      </c>
      <c r="D7" s="2">
        <v>8200</v>
      </c>
      <c r="E7" s="2">
        <v>320000</v>
      </c>
      <c r="F7" s="3">
        <f t="shared" si="0"/>
        <v>13.666666666666666</v>
      </c>
      <c r="G7" s="2">
        <f t="shared" si="1"/>
        <v>533.33333333333337</v>
      </c>
    </row>
    <row r="8" spans="1:7">
      <c r="A8" s="1">
        <v>45306</v>
      </c>
      <c r="B8" t="s">
        <v>7</v>
      </c>
      <c r="C8">
        <v>1250</v>
      </c>
      <c r="D8" s="2">
        <v>18500</v>
      </c>
      <c r="E8" s="2">
        <v>1020000</v>
      </c>
      <c r="F8" s="3">
        <f t="shared" si="0"/>
        <v>14.8</v>
      </c>
      <c r="G8" s="2">
        <f t="shared" si="1"/>
        <v>816</v>
      </c>
    </row>
    <row r="9" spans="1:7">
      <c r="A9" s="1">
        <v>45306</v>
      </c>
      <c r="B9" t="s">
        <v>8</v>
      </c>
      <c r="C9">
        <v>480</v>
      </c>
      <c r="D9" s="2">
        <v>13000</v>
      </c>
      <c r="E9" s="2">
        <v>560000</v>
      </c>
      <c r="F9" s="3">
        <f t="shared" si="0"/>
        <v>27.083333333333332</v>
      </c>
      <c r="G9" s="2">
        <f t="shared" si="1"/>
        <v>1166.6666666666667</v>
      </c>
    </row>
    <row r="10" spans="1:7">
      <c r="A10" s="1">
        <v>45306</v>
      </c>
      <c r="B10" t="s">
        <v>9</v>
      </c>
      <c r="C10">
        <v>640</v>
      </c>
      <c r="D10" s="2">
        <v>8500</v>
      </c>
      <c r="E10" s="2">
        <v>330000</v>
      </c>
      <c r="F10" s="3">
        <f t="shared" si="0"/>
        <v>13.28125</v>
      </c>
      <c r="G10" s="2">
        <f t="shared" si="1"/>
        <v>515.625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ABED9-469F-4643-ABFA-A296D9C5CE52}">
  <dimension ref="A2:C15"/>
  <sheetViews>
    <sheetView tabSelected="1" workbookViewId="0">
      <selection activeCell="F21" sqref="F21"/>
    </sheetView>
  </sheetViews>
  <sheetFormatPr defaultRowHeight="15"/>
  <cols>
    <col min="1" max="1" width="15.140625" bestFit="1" customWidth="1"/>
    <col min="2" max="2" width="31.42578125" bestFit="1" customWidth="1"/>
    <col min="3" max="3" width="30.140625" bestFit="1" customWidth="1"/>
  </cols>
  <sheetData>
    <row r="2" spans="1:3">
      <c r="A2" s="4" t="s">
        <v>1</v>
      </c>
      <c r="B2" t="s">
        <v>10</v>
      </c>
      <c r="C2" t="s">
        <v>11</v>
      </c>
    </row>
    <row r="3" spans="1:3">
      <c r="A3" t="s">
        <v>7</v>
      </c>
      <c r="B3" s="3">
        <v>10.37683615819209</v>
      </c>
      <c r="C3" s="2">
        <v>821.01129943502826</v>
      </c>
    </row>
    <row r="4" spans="1:3">
      <c r="A4" t="s">
        <v>8</v>
      </c>
      <c r="B4" s="3">
        <v>26.781914893617017</v>
      </c>
      <c r="C4" s="2">
        <v>1164.14499605989</v>
      </c>
    </row>
    <row r="5" spans="1:3">
      <c r="A5" t="s">
        <v>9</v>
      </c>
      <c r="B5" s="3">
        <v>13.283714157706093</v>
      </c>
      <c r="C5" s="2">
        <v>516.31944444444446</v>
      </c>
    </row>
    <row r="6" spans="1:3">
      <c r="A6" t="s">
        <v>12</v>
      </c>
      <c r="B6" s="3">
        <v>16.814155069838403</v>
      </c>
      <c r="C6" s="2">
        <v>833.82524664645416</v>
      </c>
    </row>
    <row r="11" spans="1:3" ht="18.75">
      <c r="A11" s="5" t="s">
        <v>13</v>
      </c>
    </row>
    <row r="12" spans="1:3">
      <c r="A12" t="s">
        <v>14</v>
      </c>
    </row>
    <row r="13" spans="1:3">
      <c r="A13" t="s">
        <v>15</v>
      </c>
    </row>
    <row r="14" spans="1:3">
      <c r="A14" t="s">
        <v>16</v>
      </c>
    </row>
    <row r="15" spans="1:3">
      <c r="A15" t="s">
        <v>17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2026-05-03T00:18:55Z</dcterms:created>
  <dcterms:modified xsi:type="dcterms:W3CDTF">2026-05-03T01:12:58Z</dcterms:modified>
  <cp:category/>
  <cp:contentStatus/>
</cp:coreProperties>
</file>