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 defaultThemeVersion="166925"/>
  <xr:revisionPtr revIDLastSave="0" documentId="8_{60EC9D04-B007-4D73-816F-8418A3C297E5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Data" sheetId="1" r:id="rId1"/>
    <sheet name="Dashboard" sheetId="2" r:id="rId2"/>
  </sheets>
  <calcPr calcId="191028"/>
  <pivotCaches>
    <pivotCache cacheId="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C9" i="2"/>
  <c r="E3" i="1"/>
  <c r="E4" i="1"/>
  <c r="E5" i="1"/>
  <c r="E6" i="1"/>
  <c r="E2" i="1"/>
</calcChain>
</file>

<file path=xl/sharedStrings.xml><?xml version="1.0" encoding="utf-8"?>
<sst xmlns="http://schemas.openxmlformats.org/spreadsheetml/2006/main" count="16" uniqueCount="15">
  <si>
    <t xml:space="preserve">YEAR </t>
  </si>
  <si>
    <t>OPERATING_REVENUE</t>
  </si>
  <si>
    <t>OPERATING_EXPENSES</t>
  </si>
  <si>
    <t>OPERATING_INCOME</t>
  </si>
  <si>
    <t>OPERATING_MARGIN_PCT</t>
  </si>
  <si>
    <t>Sum of OPERATING_EXPENSES</t>
  </si>
  <si>
    <t>Sum of OPERATING_INCOME</t>
  </si>
  <si>
    <t>Sum of OPERATING_REVENUE</t>
  </si>
  <si>
    <t>2023 Revenue</t>
  </si>
  <si>
    <t>2023 Operating Margin</t>
  </si>
  <si>
    <t xml:space="preserve">SUMMARY </t>
  </si>
  <si>
    <t xml:space="preserve">     Revenue increased consistently from 2019 to 2023</t>
  </si>
  <si>
    <t xml:space="preserve">     Operating margin declined in 2022 due to expenses exceeding revenue</t>
  </si>
  <si>
    <t xml:space="preserve">     2022 was the only year with negative operating income</t>
  </si>
  <si>
    <r>
      <rPr>
        <sz val="11"/>
        <color rgb="FF000000"/>
        <rFont val="Calibri"/>
        <scheme val="minor"/>
      </rPr>
      <t xml:space="preserve">    </t>
    </r>
    <r>
      <rPr>
        <sz val="13.5"/>
        <color rgb="FF000000"/>
        <rFont val="Calibri"/>
        <scheme val="minor"/>
      </rPr>
      <t xml:space="preserve">  Profitability recovered in 2023 as expenses stabilized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</si>
</sst>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%"/>
  </numFmts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" fontId="2" fillId="0" borderId="0" xfId="0" applyNumberFormat="1" applyFont="1"/>
    <xf numFmtId="10" fontId="0" fillId="0" borderId="0" xfId="0" applyNumberFormat="1"/>
    <xf numFmtId="0" fontId="0" fillId="0" borderId="0" xfId="0" pivotButton="1"/>
    <xf numFmtId="42" fontId="0" fillId="0" borderId="0" xfId="0" applyNumberFormat="1"/>
    <xf numFmtId="44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4"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[kaiser_financial_trend_analysis.xlsx]Dashboard!Kaiser Operating Performance (2019–2023)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Kaiser Operating Performance (2019–2023)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Dashboard!$B$2</c:f>
              <c:strCache>
                <c:ptCount val="1"/>
                <c:pt idx="0">
                  <c:v>Sum of OPERATING_EXPENSES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Dashboard!$A$3:$A$7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Dashboard!$B$3:$B$7</c:f>
              <c:numCache>
                <c:formatCode>_("$"* #,##0_);_("$"* \(#,##0\);_("$"* "-"_);_(@_)</c:formatCode>
                <c:ptCount val="5"/>
                <c:pt idx="0">
                  <c:v>81400000000</c:v>
                </c:pt>
                <c:pt idx="1">
                  <c:v>86400000000</c:v>
                </c:pt>
                <c:pt idx="2">
                  <c:v>90600000000</c:v>
                </c:pt>
                <c:pt idx="3">
                  <c:v>96700000000</c:v>
                </c:pt>
                <c:pt idx="4">
                  <c:v>100500000000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4-4894-B09A-4EEC297725DA}"/>
            </c:ext>
          </c:extLst>
        </c:ser>
        <c:ser>
          <c:idx val="1"/>
          <c:order val="1"/>
          <c:tx>
            <c:strRef>
              <c:f>Dashboard!$C$2</c:f>
              <c:strCache>
                <c:ptCount val="1"/>
                <c:pt idx="0">
                  <c:v>Sum of OPERATING_INCOME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Dashboard!$A$3:$A$7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Dashboard!$C$3:$C$7</c:f>
              <c:numCache>
                <c:formatCode>_("$"* #,##0.00_);_("$"* \(#,##0.00\);_("$"* "-"??_);_(@_)</c:formatCode>
                <c:ptCount val="5"/>
                <c:pt idx="0">
                  <c:v>3090000000</c:v>
                </c:pt>
                <c:pt idx="1">
                  <c:v>2300000000</c:v>
                </c:pt>
                <c:pt idx="2">
                  <c:v>2500000000</c:v>
                </c:pt>
                <c:pt idx="3">
                  <c:v>-1300000000</c:v>
                </c:pt>
                <c:pt idx="4">
                  <c:v>329000000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C4-4894-B09A-4EEC297725DA}"/>
            </c:ext>
          </c:extLst>
        </c:ser>
        <c:ser>
          <c:idx val="2"/>
          <c:order val="2"/>
          <c:tx>
            <c:strRef>
              <c:f>Dashboard!$D$2</c:f>
              <c:strCache>
                <c:ptCount val="1"/>
                <c:pt idx="0">
                  <c:v>Sum of OPERATING_REVENUE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Dashboard!$A$3:$A$7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Dashboard!$D$3:$D$7</c:f>
              <c:numCache>
                <c:formatCode>_("$"* #,##0.00_);_("$"* \(#,##0.00\);_("$"* "-"??_);_(@_)</c:formatCode>
                <c:ptCount val="5"/>
                <c:pt idx="0">
                  <c:v>84490000000</c:v>
                </c:pt>
                <c:pt idx="1">
                  <c:v>88700000000</c:v>
                </c:pt>
                <c:pt idx="2">
                  <c:v>93100000000</c:v>
                </c:pt>
                <c:pt idx="3">
                  <c:v>95400000000</c:v>
                </c:pt>
                <c:pt idx="4">
                  <c:v>100800000000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C4-4894-B09A-4EEC29772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839943"/>
        <c:axId val="1588841991"/>
      </c:lineChart>
      <c:catAx>
        <c:axId val="1588839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841991"/>
        <c:crosses val="autoZero"/>
        <c:auto val="1"/>
        <c:lblAlgn val="ctr"/>
        <c:lblOffset val="100"/>
        <c:noMultiLvlLbl val="0"/>
      </c:catAx>
      <c:valAx>
        <c:axId val="1588841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839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9525</xdr:rowOff>
    </xdr:from>
    <xdr:to>
      <xdr:col>3</xdr:col>
      <xdr:colOff>171450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987FD-0815-2A91-21B5-1EAEAE95E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4.988745486109" createdVersion="8" refreshedVersion="8" minRefreshableVersion="3" recordCount="5" xr:uid="{F6926A11-F6C6-4C07-B3FD-0F0C490EF732}">
  <cacheSource type="worksheet">
    <worksheetSource ref="A1:E6" sheet="Data"/>
  </cacheSource>
  <cacheFields count="5">
    <cacheField name="YEAR 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OPERATING_REVENUE" numFmtId="0">
      <sharedItems containsSemiMixedTypes="0" containsString="0" containsNumber="1" containsInteger="1" minValue="84490000000" maxValue="100800000000"/>
    </cacheField>
    <cacheField name="OPERATING_EXPENSES" numFmtId="0">
      <sharedItems containsSemiMixedTypes="0" containsString="0" containsNumber="1" containsInteger="1" minValue="81400000000" maxValue="100500000000"/>
    </cacheField>
    <cacheField name="OPERATING_INCOME" numFmtId="0">
      <sharedItems containsSemiMixedTypes="0" containsString="0" containsNumber="1" containsInteger="1" minValue="-1300000000" maxValue="3090000000"/>
    </cacheField>
    <cacheField name="OPERATING_MARGIN_PCT" numFmtId="10">
      <sharedItems containsSemiMixedTypes="0" containsString="0" containsNumber="1" minValue="-1.3626834381551363E-2" maxValue="3.657237542904485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84490000000"/>
    <n v="81400000000"/>
    <n v="3090000000"/>
    <n v="3.6572375429044859E-2"/>
  </r>
  <r>
    <x v="1"/>
    <n v="88700000000"/>
    <n v="86400000000"/>
    <n v="2300000000"/>
    <n v="2.5930101465614429E-2"/>
  </r>
  <r>
    <x v="2"/>
    <n v="93100000000"/>
    <n v="90600000000"/>
    <n v="2500000000"/>
    <n v="2.6852846401718582E-2"/>
  </r>
  <r>
    <x v="3"/>
    <n v="95400000000"/>
    <n v="96700000000"/>
    <n v="-1300000000"/>
    <n v="-1.3626834381551363E-2"/>
  </r>
  <r>
    <x v="4"/>
    <n v="100800000000"/>
    <n v="100500000000"/>
    <n v="329000000"/>
    <n v="3.2638888888888891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8A30C-377F-4EE7-A48F-6F611711BC02}" name="Kaiser Operating Performance (2019–2023)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2:D7" firstHeaderRow="0" firstDataRow="1" firstDataCol="1"/>
  <pivotFields count="5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numFmtId="10" outline="0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PERATING_EXPENSES" fld="2" baseField="0" baseItem="0" numFmtId="1"/>
    <dataField name="Sum of OPERATING_INCOME" fld="3" baseField="0" baseItem="0" numFmtId="44"/>
    <dataField name="Sum of OPERATING_REVENUE" fld="1" baseField="0" baseItem="0" numFmtId="44"/>
  </dataFields>
  <formats count="4">
    <format dxfId="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">
      <pivotArea outline="0" fieldPosition="0">
        <references count="2">
          <reference field="4294967294" count="1" selected="0">
            <x v="0"/>
          </reference>
          <reference field="0" count="4" selected="0">
            <x v="1"/>
            <x v="2"/>
            <x v="3"/>
            <x v="4"/>
          </reference>
        </references>
      </pivotArea>
    </format>
    <format dxfId="2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  <format dxfId="3">
      <pivotArea outline="0" fieldPosition="0">
        <references count="1">
          <reference field="4294967294" count="2" selected="0"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20" sqref="C20"/>
    </sheetView>
  </sheetViews>
  <sheetFormatPr defaultRowHeight="15"/>
  <cols>
    <col min="1" max="1" width="6.140625" bestFit="1" customWidth="1"/>
    <col min="2" max="2" width="21" bestFit="1" customWidth="1"/>
    <col min="3" max="3" width="21.7109375" bestFit="1" customWidth="1"/>
    <col min="4" max="4" width="20.140625" bestFit="1" customWidth="1"/>
    <col min="5" max="5" width="24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>
      <c r="A2">
        <v>2019</v>
      </c>
      <c r="B2" s="1">
        <v>84490000000</v>
      </c>
      <c r="C2" s="4">
        <v>81400000000</v>
      </c>
      <c r="D2" s="3">
        <v>3090000000</v>
      </c>
      <c r="E2" s="5">
        <f>D2/B2</f>
        <v>3.6572375429044859E-2</v>
      </c>
    </row>
    <row r="3" spans="1:5" ht="15.75">
      <c r="A3">
        <v>2020</v>
      </c>
      <c r="B3" s="1">
        <v>88700000000</v>
      </c>
      <c r="C3" s="2">
        <v>86400000000</v>
      </c>
      <c r="D3" s="2">
        <v>2300000000</v>
      </c>
      <c r="E3" s="5">
        <f t="shared" ref="E3:E6" si="0">D3/B3</f>
        <v>2.5930101465614429E-2</v>
      </c>
    </row>
    <row r="4" spans="1:5" ht="15.75">
      <c r="A4">
        <v>2021</v>
      </c>
      <c r="B4" s="2">
        <v>93100000000</v>
      </c>
      <c r="C4" s="2">
        <v>90600000000</v>
      </c>
      <c r="D4" s="2">
        <v>2500000000</v>
      </c>
      <c r="E4" s="5">
        <f t="shared" si="0"/>
        <v>2.6852846401718582E-2</v>
      </c>
    </row>
    <row r="5" spans="1:5" ht="15.75">
      <c r="A5">
        <v>2022</v>
      </c>
      <c r="B5" s="2">
        <v>95400000000</v>
      </c>
      <c r="C5" s="2">
        <v>96700000000</v>
      </c>
      <c r="D5" s="1">
        <v>-1300000000</v>
      </c>
      <c r="E5" s="5">
        <f t="shared" si="0"/>
        <v>-1.3626834381551363E-2</v>
      </c>
    </row>
    <row r="6" spans="1:5" ht="15.75">
      <c r="A6">
        <v>2023</v>
      </c>
      <c r="B6" s="4">
        <v>100800000000</v>
      </c>
      <c r="C6" s="4">
        <v>100500000000</v>
      </c>
      <c r="D6" s="2">
        <v>329000000</v>
      </c>
      <c r="E6" s="5">
        <f t="shared" si="0"/>
        <v>3.2638888888888891E-3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1F2E-585D-45F9-8F52-179CD982CFE2}">
  <dimension ref="A2:E15"/>
  <sheetViews>
    <sheetView workbookViewId="0">
      <selection activeCell="D12" sqref="D12:I15"/>
    </sheetView>
  </sheetViews>
  <sheetFormatPr defaultRowHeight="15"/>
  <cols>
    <col min="1" max="1" width="9.42578125" bestFit="1" customWidth="1"/>
    <col min="2" max="2" width="29" bestFit="1" customWidth="1"/>
    <col min="3" max="3" width="27.5703125" bestFit="1" customWidth="1"/>
    <col min="4" max="4" width="28.42578125" bestFit="1" customWidth="1"/>
    <col min="5" max="5" width="11.42578125" bestFit="1" customWidth="1"/>
  </cols>
  <sheetData>
    <row r="2" spans="1:5">
      <c r="A2" s="6" t="s">
        <v>0</v>
      </c>
      <c r="B2" t="s">
        <v>5</v>
      </c>
      <c r="C2" t="s">
        <v>6</v>
      </c>
      <c r="D2" t="s">
        <v>7</v>
      </c>
    </row>
    <row r="3" spans="1:5">
      <c r="A3">
        <v>2019</v>
      </c>
      <c r="B3" s="7">
        <v>81400000000</v>
      </c>
      <c r="C3" s="8">
        <v>3090000000</v>
      </c>
      <c r="D3" s="8">
        <v>84490000000</v>
      </c>
    </row>
    <row r="4" spans="1:5">
      <c r="A4">
        <v>2020</v>
      </c>
      <c r="B4" s="7">
        <v>86400000000</v>
      </c>
      <c r="C4" s="8">
        <v>2300000000</v>
      </c>
      <c r="D4" s="8">
        <v>88700000000</v>
      </c>
    </row>
    <row r="5" spans="1:5">
      <c r="A5">
        <v>2021</v>
      </c>
      <c r="B5" s="7">
        <v>90600000000</v>
      </c>
      <c r="C5" s="8">
        <v>2500000000</v>
      </c>
      <c r="D5" s="8">
        <v>93100000000</v>
      </c>
    </row>
    <row r="6" spans="1:5">
      <c r="A6">
        <v>2022</v>
      </c>
      <c r="B6" s="7">
        <v>96700000000</v>
      </c>
      <c r="C6" s="8">
        <v>-1300000000</v>
      </c>
      <c r="D6" s="8">
        <v>95400000000</v>
      </c>
    </row>
    <row r="7" spans="1:5">
      <c r="A7">
        <v>2023</v>
      </c>
      <c r="B7" s="7">
        <v>100500000000</v>
      </c>
      <c r="C7" s="8">
        <v>329000000</v>
      </c>
      <c r="D7" s="8">
        <v>100800000000</v>
      </c>
    </row>
    <row r="9" spans="1:5" ht="18">
      <c r="B9" s="10" t="s">
        <v>8</v>
      </c>
      <c r="C9" s="7">
        <f>Data!B6</f>
        <v>100800000000</v>
      </c>
    </row>
    <row r="10" spans="1:5" ht="18">
      <c r="B10" s="10" t="s">
        <v>9</v>
      </c>
      <c r="C10" s="9">
        <f>Data!E6</f>
        <v>3.2638888888888891E-3</v>
      </c>
    </row>
    <row r="11" spans="1:5">
      <c r="D11" s="11"/>
      <c r="E11" s="11" t="s">
        <v>10</v>
      </c>
    </row>
    <row r="12" spans="1:5" ht="18">
      <c r="D12" s="12" t="s">
        <v>11</v>
      </c>
    </row>
    <row r="13" spans="1:5" ht="18">
      <c r="D13" s="12" t="s">
        <v>12</v>
      </c>
    </row>
    <row r="14" spans="1:5" ht="18">
      <c r="D14" s="13" t="s">
        <v>13</v>
      </c>
    </row>
    <row r="15" spans="1:5" ht="18">
      <c r="D15" s="14" t="s">
        <v>14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2026-04-13T06:21:55Z</dcterms:created>
  <dcterms:modified xsi:type="dcterms:W3CDTF">2026-05-03T01:13:09Z</dcterms:modified>
  <cp:category/>
  <cp:contentStatus/>
</cp:coreProperties>
</file>